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slinurgursoy/Downloads/"/>
    </mc:Choice>
  </mc:AlternateContent>
  <xr:revisionPtr revIDLastSave="0" documentId="13_ncr:1_{50B3DD33-1C38-5B4C-AC43-A7D35DC98D7B}" xr6:coauthVersionLast="47" xr6:coauthVersionMax="47" xr10:uidLastSave="{00000000-0000-0000-0000-000000000000}"/>
  <bookViews>
    <workbookView xWindow="6480" yWindow="8580" windowWidth="22920" windowHeight="9360" activeTab="3" xr2:uid="{00000000-000D-0000-FFFF-FFFF00000000}"/>
  </bookViews>
  <sheets>
    <sheet name="Production Plan" sheetId="1" r:id="rId1"/>
    <sheet name="Inventory Plan" sheetId="2" r:id="rId2"/>
    <sheet name="Setup Plan" sheetId="3" r:id="rId3"/>
    <sheet name="Cos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C9" i="4"/>
  <c r="D9" i="4"/>
  <c r="E9" i="4"/>
</calcChain>
</file>

<file path=xl/sharedStrings.xml><?xml version="1.0" encoding="utf-8"?>
<sst xmlns="http://schemas.openxmlformats.org/spreadsheetml/2006/main" count="128" uniqueCount="44">
  <si>
    <t>Part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</si>
  <si>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</si>
  <si>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</si>
  <si>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</si>
  <si>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</si>
  <si>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</si>
  <si>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</si>
  <si>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</si>
  <si>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</si>
  <si>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</si>
  <si>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</si>
  <si>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</si>
  <si>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</si>
  <si>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</si>
  <si>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</si>
  <si>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</si>
  <si>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</si>
  <si>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</si>
  <si>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</si>
  <si>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</si>
  <si>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</si>
  <si>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</si>
  <si>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</si>
  <si>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</si>
  <si>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</si>
  <si>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</si>
  <si>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</si>
  <si>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</si>
  <si>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</si>
  <si>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</si>
  <si>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</si>
  <si>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B1401</t>
  </si>
  <si>
    <t>B2302</t>
  </si>
  <si>
    <t>B3201</t>
  </si>
  <si>
    <t>B4702</t>
  </si>
  <si>
    <t>V1501</t>
  </si>
  <si>
    <t>V6302</t>
  </si>
  <si>
    <t>E2801</t>
  </si>
  <si>
    <t>Demand E2801 (Forecast)</t>
  </si>
  <si>
    <t>Num Setups</t>
  </si>
  <si>
    <t>Setup Cost (EUR)</t>
  </si>
  <si>
    <t>Holding Cost (EUR)</t>
  </si>
  <si>
    <t>Total Cost (EUR)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</si>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</sst>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4" borderId="0" xfId="0" applyFont="1" applyFill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23.6640625" customWidth="1"/>
    <col min="2" max="31" width="7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3">
        <v>1200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20320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21792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2">
      <c r="A3" s="4" t="s">
        <v>32</v>
      </c>
      <c r="B3" s="5">
        <v>0</v>
      </c>
      <c r="C3" s="5">
        <v>0</v>
      </c>
      <c r="D3" s="5">
        <v>1700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15240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16344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2450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7620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8172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2">
      <c r="A5" s="4" t="s">
        <v>34</v>
      </c>
      <c r="B5" s="5">
        <v>23575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26670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28602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1900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5080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5448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2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3825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3810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4086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">
      <c r="A8" s="2" t="s">
        <v>37</v>
      </c>
      <c r="B8" s="3">
        <v>650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1275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1270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1362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A9" s="4" t="s">
        <v>38</v>
      </c>
      <c r="B9" s="5">
        <v>136</v>
      </c>
      <c r="C9" s="5">
        <v>144</v>
      </c>
      <c r="D9" s="5">
        <v>263</v>
      </c>
      <c r="E9" s="5">
        <v>123</v>
      </c>
      <c r="F9" s="5">
        <v>171</v>
      </c>
      <c r="G9" s="5">
        <v>195</v>
      </c>
      <c r="H9" s="5">
        <v>414</v>
      </c>
      <c r="I9" s="5">
        <v>147</v>
      </c>
      <c r="J9" s="5">
        <v>129</v>
      </c>
      <c r="K9" s="5">
        <v>245</v>
      </c>
      <c r="L9" s="5">
        <v>208</v>
      </c>
      <c r="M9" s="5">
        <v>178</v>
      </c>
      <c r="N9" s="5">
        <v>168</v>
      </c>
      <c r="O9" s="5">
        <v>208</v>
      </c>
      <c r="P9" s="5">
        <v>173</v>
      </c>
      <c r="Q9" s="5">
        <v>168</v>
      </c>
      <c r="R9" s="5">
        <v>181</v>
      </c>
      <c r="S9" s="5">
        <v>188</v>
      </c>
      <c r="T9" s="5">
        <v>212</v>
      </c>
      <c r="U9" s="5">
        <v>253</v>
      </c>
      <c r="V9" s="5">
        <v>219</v>
      </c>
      <c r="W9" s="5">
        <v>196</v>
      </c>
      <c r="X9" s="5">
        <v>226</v>
      </c>
      <c r="Y9" s="5">
        <v>239</v>
      </c>
      <c r="Z9" s="5">
        <v>220</v>
      </c>
      <c r="AA9" s="5">
        <v>199</v>
      </c>
      <c r="AB9" s="5">
        <v>183</v>
      </c>
      <c r="AC9" s="5">
        <v>149</v>
      </c>
      <c r="AD9" s="5">
        <v>167</v>
      </c>
      <c r="AE9" s="5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/>
  </sheetViews>
  <sheetFormatPr baseColWidth="10" defaultColWidth="8.83203125" defaultRowHeight="15" x14ac:dyDescent="0.2"/>
  <cols>
    <col min="1" max="1" width="18" customWidth="1"/>
    <col min="2" max="31" width="7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3">
        <v>6400</v>
      </c>
      <c r="C2" s="3">
        <v>6400</v>
      </c>
      <c r="D2" s="3">
        <v>6400</v>
      </c>
      <c r="E2" s="3">
        <v>6400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2">
      <c r="A3" s="4" t="s">
        <v>32</v>
      </c>
      <c r="B3" s="5">
        <v>4000</v>
      </c>
      <c r="C3" s="5">
        <v>4000</v>
      </c>
      <c r="D3" s="5">
        <v>4000</v>
      </c>
      <c r="E3" s="5">
        <v>4000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">
      <c r="A4" s="2" t="s">
        <v>33</v>
      </c>
      <c r="B4" s="3">
        <v>5200</v>
      </c>
      <c r="C4" s="3">
        <v>5200</v>
      </c>
      <c r="D4" s="3">
        <v>5200</v>
      </c>
      <c r="E4" s="3">
        <v>5200</v>
      </c>
      <c r="F4" s="3">
        <v>5200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2">
      <c r="A5" s="4" t="s">
        <v>34</v>
      </c>
      <c r="B5" s="5">
        <v>3200</v>
      </c>
      <c r="C5" s="5">
        <v>3200</v>
      </c>
      <c r="D5" s="5">
        <v>3200</v>
      </c>
      <c r="E5" s="5">
        <v>3200</v>
      </c>
      <c r="F5" s="5">
        <v>3200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">
      <c r="A6" s="2" t="s">
        <v>35</v>
      </c>
      <c r="B6" s="3">
        <v>3200</v>
      </c>
      <c r="C6" s="3">
        <v>3200</v>
      </c>
      <c r="D6" s="3">
        <v>3200</v>
      </c>
      <c r="E6" s="3">
        <v>3200</v>
      </c>
      <c r="F6" s="3">
        <v>3200</v>
      </c>
      <c r="G6" s="3">
        <v>3200</v>
      </c>
      <c r="H6" s="3">
        <v>3200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2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">
      <c r="A8" s="2" t="s">
        <v>37</v>
      </c>
      <c r="B8" s="3">
        <v>1214</v>
      </c>
      <c r="C8" s="3">
        <v>1720</v>
      </c>
      <c r="D8" s="3">
        <v>1457</v>
      </c>
      <c r="E8" s="3">
        <v>1334</v>
      </c>
      <c r="F8" s="3">
        <v>1163</v>
      </c>
      <c r="G8" s="3">
        <v>968</v>
      </c>
      <c r="H8" s="3">
        <v>554</v>
      </c>
      <c r="I8" s="3">
        <v>407</v>
      </c>
      <c r="J8" s="3">
        <v>1553</v>
      </c>
      <c r="K8" s="3">
        <v>1308</v>
      </c>
      <c r="L8" s="3">
        <v>1100</v>
      </c>
      <c r="M8" s="3">
        <v>922</v>
      </c>
      <c r="N8" s="3">
        <v>754</v>
      </c>
      <c r="O8" s="3">
        <v>546</v>
      </c>
      <c r="P8" s="3">
        <v>373</v>
      </c>
      <c r="Q8" s="3">
        <v>205</v>
      </c>
      <c r="R8" s="3">
        <v>24</v>
      </c>
      <c r="S8" s="3">
        <v>1106</v>
      </c>
      <c r="T8" s="3">
        <v>894</v>
      </c>
      <c r="U8" s="3">
        <v>641</v>
      </c>
      <c r="V8" s="3">
        <v>422</v>
      </c>
      <c r="W8" s="3">
        <v>226</v>
      </c>
      <c r="X8" s="3">
        <v>0</v>
      </c>
      <c r="Y8" s="3">
        <v>1123</v>
      </c>
      <c r="Z8" s="3">
        <v>903</v>
      </c>
      <c r="AA8" s="3">
        <v>704</v>
      </c>
      <c r="AB8" s="3">
        <v>521</v>
      </c>
      <c r="AC8" s="3">
        <v>372</v>
      </c>
      <c r="AD8" s="3">
        <v>205</v>
      </c>
      <c r="AE8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18" customWidth="1"/>
    <col min="2" max="31" width="7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6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6">
        <v>1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</row>
    <row r="3" spans="1:31" x14ac:dyDescent="0.2">
      <c r="A3" s="4" t="s">
        <v>32</v>
      </c>
      <c r="B3" s="8">
        <v>0</v>
      </c>
      <c r="C3" s="8">
        <v>0</v>
      </c>
      <c r="D3" s="6">
        <v>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6">
        <v>1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6">
        <v>1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</row>
    <row r="4" spans="1:31" x14ac:dyDescent="0.2">
      <c r="A4" s="2" t="s">
        <v>33</v>
      </c>
      <c r="B4" s="7">
        <v>0</v>
      </c>
      <c r="C4" s="7">
        <v>0</v>
      </c>
      <c r="D4" s="7">
        <v>0</v>
      </c>
      <c r="E4" s="7">
        <v>0</v>
      </c>
      <c r="F4" s="6">
        <v>1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6">
        <v>1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6">
        <v>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</row>
    <row r="5" spans="1:31" x14ac:dyDescent="0.2">
      <c r="A5" s="4" t="s">
        <v>34</v>
      </c>
      <c r="B5" s="6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6">
        <v>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6">
        <v>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</row>
    <row r="6" spans="1:31" x14ac:dyDescent="0.2">
      <c r="A6" s="2" t="s">
        <v>35</v>
      </c>
      <c r="B6" s="7">
        <v>0</v>
      </c>
      <c r="C6" s="7">
        <v>0</v>
      </c>
      <c r="D6" s="7">
        <v>0</v>
      </c>
      <c r="E6" s="7">
        <v>0</v>
      </c>
      <c r="F6" s="6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6">
        <v>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6">
        <v>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</row>
    <row r="7" spans="1:31" x14ac:dyDescent="0.2">
      <c r="A7" s="4" t="s">
        <v>36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6">
        <v>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6">
        <v>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6">
        <v>1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</row>
    <row r="8" spans="1:31" x14ac:dyDescent="0.2">
      <c r="A8" s="2" t="s">
        <v>37</v>
      </c>
      <c r="B8" s="6">
        <v>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6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6">
        <v>1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6">
        <v>1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2" width="12" customWidth="1"/>
    <col min="3" max="3" width="18" customWidth="1"/>
    <col min="4" max="4" width="20" customWidth="1"/>
    <col min="5" max="5" width="18" customWidth="1"/>
  </cols>
  <sheetData>
    <row r="1" spans="1:5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">
      <c r="A2" s="9" t="s">
        <v>31</v>
      </c>
      <c r="B2" s="3">
        <v>3</v>
      </c>
      <c r="C2" s="3">
        <v>7500</v>
      </c>
      <c r="D2" s="3">
        <v>12800</v>
      </c>
      <c r="E2" s="3">
        <v>20300</v>
      </c>
    </row>
    <row r="3" spans="1:5" x14ac:dyDescent="0.2">
      <c r="A3" s="10" t="s">
        <v>32</v>
      </c>
      <c r="B3" s="5">
        <v>3</v>
      </c>
      <c r="C3" s="5">
        <v>7500</v>
      </c>
      <c r="D3" s="5">
        <v>11200</v>
      </c>
      <c r="E3" s="5">
        <v>18700</v>
      </c>
    </row>
    <row r="4" spans="1:5" x14ac:dyDescent="0.2">
      <c r="A4" s="9" t="s">
        <v>33</v>
      </c>
      <c r="B4" s="3">
        <v>3</v>
      </c>
      <c r="C4" s="3">
        <v>19500</v>
      </c>
      <c r="D4" s="3">
        <v>46800</v>
      </c>
      <c r="E4" s="3">
        <v>66300</v>
      </c>
    </row>
    <row r="5" spans="1:5" x14ac:dyDescent="0.2">
      <c r="A5" s="10" t="s">
        <v>34</v>
      </c>
      <c r="B5" s="5">
        <v>3</v>
      </c>
      <c r="C5" s="5">
        <v>7500</v>
      </c>
      <c r="D5" s="5">
        <v>38400</v>
      </c>
      <c r="E5" s="5">
        <v>45900</v>
      </c>
    </row>
    <row r="6" spans="1:5" x14ac:dyDescent="0.2">
      <c r="A6" s="9" t="s">
        <v>35</v>
      </c>
      <c r="B6" s="3">
        <v>3</v>
      </c>
      <c r="C6" s="3">
        <v>7500</v>
      </c>
      <c r="D6" s="3">
        <v>69440</v>
      </c>
      <c r="E6" s="3">
        <v>76940</v>
      </c>
    </row>
    <row r="7" spans="1:5" x14ac:dyDescent="0.2">
      <c r="A7" s="10" t="s">
        <v>36</v>
      </c>
      <c r="B7" s="5">
        <v>3</v>
      </c>
      <c r="C7" s="5">
        <v>12000</v>
      </c>
      <c r="D7" s="5">
        <v>0</v>
      </c>
      <c r="E7" s="5">
        <v>12000</v>
      </c>
    </row>
    <row r="8" spans="1:5" x14ac:dyDescent="0.2">
      <c r="A8" s="9" t="s">
        <v>37</v>
      </c>
      <c r="B8" s="3">
        <v>4</v>
      </c>
      <c r="C8" s="3">
        <v>18000</v>
      </c>
      <c r="D8" s="3">
        <v>136314</v>
      </c>
      <c r="E8" s="3">
        <v>154314</v>
      </c>
    </row>
    <row r="9" spans="1:5" x14ac:dyDescent="0.2">
      <c r="A9" s="1" t="s">
        <v>43</v>
      </c>
      <c r="B9" s="1">
        <f>SUM(B2:B8)</f>
        <v>22</v>
      </c>
      <c r="C9" s="1">
        <f>SUM(C2:C8)</f>
        <v>79500</v>
      </c>
      <c r="D9" s="1">
        <f>SUM(D2:D8)</f>
        <v>314954</v>
      </c>
      <c r="E9" s="1">
        <f>SUM(E2:E8)</f>
        <v>394454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 Plan</vt:lpstr>
      <vt:lpstr>Inventory Plan</vt:lpstr>
      <vt:lpstr>Setup Plan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Aslinur Gursoy</cp:lastModifiedBy>
  <dcterms:created xsi:type="dcterms:W3CDTF">2026-05-02T21:49:07Z</dcterms:created>
  <dcterms:modified xsi:type="dcterms:W3CDTF">2026-05-02T21:56:03Z</dcterms:modified>
</cp:coreProperties>
</file>